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Default Extension="emf" ContentType="image/x-emf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19185" windowHeight="11640"/>
  </bookViews>
  <sheets>
    <sheet name="Arkusz1" sheetId="1" r:id="rId1"/>
  </sheets>
  <definedNames>
    <definedName name="_xlnm.Print_Area" localSheetId="0">Arkusz1!$A$1:$D$83</definedName>
  </definedNames>
  <calcPr calcId="125725"/>
</workbook>
</file>

<file path=xl/calcChain.xml><?xml version="1.0" encoding="utf-8"?>
<calcChain xmlns="http://schemas.openxmlformats.org/spreadsheetml/2006/main">
  <c r="C62" i="1"/>
  <c r="C57"/>
  <c r="G42"/>
  <c r="G36"/>
  <c r="G41"/>
  <c r="G40"/>
  <c r="G39"/>
  <c r="G38"/>
  <c r="G37"/>
  <c r="G35"/>
  <c r="G34"/>
  <c r="C18" l="1"/>
  <c r="C38" s="1"/>
  <c r="G43"/>
  <c r="C74"/>
  <c r="G57" s="1"/>
  <c r="C58"/>
  <c r="C77"/>
  <c r="E44"/>
  <c r="C28"/>
  <c r="C67" l="1"/>
  <c r="C81" s="1"/>
  <c r="C32"/>
  <c r="C27"/>
  <c r="C22" l="1"/>
  <c r="C35" s="1"/>
  <c r="C42" s="1"/>
</calcChain>
</file>

<file path=xl/sharedStrings.xml><?xml version="1.0" encoding="utf-8"?>
<sst xmlns="http://schemas.openxmlformats.org/spreadsheetml/2006/main" count="93" uniqueCount="84">
  <si>
    <t>medium</t>
  </si>
  <si>
    <t>masa [kg]</t>
  </si>
  <si>
    <t>ciepło spalania [MJ/kg]</t>
  </si>
  <si>
    <t>Współczynnik uwzględniający</t>
  </si>
  <si>
    <t>zabezpieczone obciążenie ogniowe</t>
  </si>
  <si>
    <t>Ψ</t>
  </si>
  <si>
    <t>MJ</t>
  </si>
  <si>
    <t>Charakterystyczne obciążenie ogniowe:</t>
  </si>
  <si>
    <t>Charakterystyczna gęstość obciążenia ogniowego:</t>
  </si>
  <si>
    <r>
      <t>MJ/m</t>
    </r>
    <r>
      <rPr>
        <vertAlign val="superscript"/>
        <sz val="10"/>
        <color theme="1"/>
        <rFont val="Arial"/>
        <family val="2"/>
        <charset val="238"/>
      </rPr>
      <t>2</t>
    </r>
  </si>
  <si>
    <r>
      <t>m</t>
    </r>
    <r>
      <rPr>
        <vertAlign val="superscript"/>
        <sz val="10"/>
        <color theme="1"/>
        <rFont val="Arial"/>
        <family val="2"/>
        <charset val="238"/>
      </rPr>
      <t>2</t>
    </r>
  </si>
  <si>
    <t>Obliczeniowa wartość obciążenia ogniowego:</t>
  </si>
  <si>
    <t>Współczynnik uwzględniający ryzyko pojawienia się pożaru spowodowane wielkością strefy</t>
  </si>
  <si>
    <t>powierzchnia podłogi</t>
  </si>
  <si>
    <t>niebezpieczeństwo pojawienia się pożaru</t>
  </si>
  <si>
    <t>Współczynnik uwzględniający ryzyko pojawienia się pożaru</t>
  </si>
  <si>
    <t>sposoby użytkowania</t>
  </si>
  <si>
    <t>niebiezpieczeństwo pojawienia się pożaru</t>
  </si>
  <si>
    <t>galeria sztuki</t>
  </si>
  <si>
    <t>muzeum</t>
  </si>
  <si>
    <t>basen</t>
  </si>
  <si>
    <t>biura</t>
  </si>
  <si>
    <t>mieszkanie</t>
  </si>
  <si>
    <t>hotel</t>
  </si>
  <si>
    <t>przemysł papierniczy</t>
  </si>
  <si>
    <t>wytwórnia maszyn i silników</t>
  </si>
  <si>
    <t>laboratoria chemiczne</t>
  </si>
  <si>
    <t>warwsztat malarski</t>
  </si>
  <si>
    <t>wytwórnia fajerwerków</t>
  </si>
  <si>
    <t>wytwórnia farb</t>
  </si>
  <si>
    <t>Współczynnik spalania (m)</t>
  </si>
  <si>
    <t>(dla celulozy wpisać 0,8)</t>
  </si>
  <si>
    <t>Współczynniki charakteryzujące czynne środki ochrony przeciwpożarowej</t>
  </si>
  <si>
    <t>samoczynne urządzenia gaśnice wodne</t>
  </si>
  <si>
    <t>samoczynna detekcja ciepła</t>
  </si>
  <si>
    <t>samoczynna detekcja dymu</t>
  </si>
  <si>
    <t>samoczynna transmisja alarmu do SP</t>
  </si>
  <si>
    <t>zakładowa straż pożarna</t>
  </si>
  <si>
    <t>publiczna straż pożarna</t>
  </si>
  <si>
    <t>bezpieczne pożarowe drogi dostępu</t>
  </si>
  <si>
    <t>urządzenia przeciwpożarowe</t>
  </si>
  <si>
    <t>system oddymiania</t>
  </si>
  <si>
    <t>TAK / NIE</t>
  </si>
  <si>
    <t>niezależne zaopatrzenie w wodę (0; 1; 2)</t>
  </si>
  <si>
    <r>
      <t>δ</t>
    </r>
    <r>
      <rPr>
        <vertAlign val="subscript"/>
        <sz val="10"/>
        <color theme="1"/>
        <rFont val="Arial"/>
        <family val="2"/>
        <charset val="238"/>
      </rPr>
      <t>q1</t>
    </r>
  </si>
  <si>
    <r>
      <t>δ</t>
    </r>
    <r>
      <rPr>
        <vertAlign val="subscript"/>
        <sz val="10"/>
        <color theme="1"/>
        <rFont val="Arial"/>
        <family val="2"/>
        <charset val="238"/>
      </rPr>
      <t>q2</t>
    </r>
  </si>
  <si>
    <r>
      <t>q</t>
    </r>
    <r>
      <rPr>
        <vertAlign val="subscript"/>
        <sz val="10"/>
        <color theme="1"/>
        <rFont val="Arial"/>
        <family val="2"/>
        <charset val="238"/>
      </rPr>
      <t>f,d</t>
    </r>
  </si>
  <si>
    <t>GĘSTOŚĆ OBCIĄŻENIA OGNIOWEGO</t>
  </si>
  <si>
    <t>RÓWNOWAŻNY CZAS ODDZIAŁYWANIA POŻARU</t>
  </si>
  <si>
    <r>
      <t>α</t>
    </r>
    <r>
      <rPr>
        <vertAlign val="subscript"/>
        <sz val="10"/>
        <color theme="1"/>
        <rFont val="Arial"/>
        <family val="2"/>
        <charset val="238"/>
      </rPr>
      <t>v</t>
    </r>
    <r>
      <rPr>
        <sz val="10"/>
        <color theme="1"/>
        <rFont val="Arial"/>
        <family val="2"/>
        <charset val="238"/>
      </rPr>
      <t xml:space="preserve"> = A</t>
    </r>
    <r>
      <rPr>
        <vertAlign val="subscript"/>
        <sz val="10"/>
        <color theme="1"/>
        <rFont val="Arial"/>
        <family val="2"/>
        <charset val="238"/>
      </rPr>
      <t>v</t>
    </r>
    <r>
      <rPr>
        <sz val="10"/>
        <color theme="1"/>
        <rFont val="Arial"/>
        <family val="2"/>
        <charset val="238"/>
      </rPr>
      <t xml:space="preserve"> / A</t>
    </r>
    <r>
      <rPr>
        <vertAlign val="subscript"/>
        <sz val="10"/>
        <color theme="1"/>
        <rFont val="Arial"/>
        <family val="2"/>
        <charset val="238"/>
      </rPr>
      <t>f</t>
    </r>
  </si>
  <si>
    <t>Powierzchnia pionowych otworów w ścianach wewnętrznych</t>
  </si>
  <si>
    <r>
      <t>A</t>
    </r>
    <r>
      <rPr>
        <vertAlign val="subscript"/>
        <sz val="10"/>
        <color theme="1"/>
        <rFont val="Arial"/>
        <family val="2"/>
        <charset val="238"/>
      </rPr>
      <t>v</t>
    </r>
    <r>
      <rPr>
        <sz val="10"/>
        <color theme="1"/>
        <rFont val="Arial"/>
        <family val="2"/>
        <charset val="238"/>
      </rPr>
      <t/>
    </r>
  </si>
  <si>
    <t>zalecane (0,025 do 0,25)</t>
  </si>
  <si>
    <t>powinno powyżej 10</t>
  </si>
  <si>
    <t>Powierzchnia poziomych otworów w dachu</t>
  </si>
  <si>
    <r>
      <t>α</t>
    </r>
    <r>
      <rPr>
        <vertAlign val="subscript"/>
        <sz val="10"/>
        <color theme="1"/>
        <rFont val="Arial"/>
        <family val="2"/>
        <charset val="238"/>
      </rPr>
      <t>h</t>
    </r>
    <r>
      <rPr>
        <sz val="10"/>
        <color theme="1"/>
        <rFont val="Arial"/>
        <family val="2"/>
        <charset val="238"/>
      </rPr>
      <t xml:space="preserve"> = A</t>
    </r>
    <r>
      <rPr>
        <vertAlign val="subscript"/>
        <sz val="10"/>
        <color theme="1"/>
        <rFont val="Arial"/>
        <family val="2"/>
        <charset val="238"/>
      </rPr>
      <t>h</t>
    </r>
    <r>
      <rPr>
        <sz val="10"/>
        <color theme="1"/>
        <rFont val="Arial"/>
        <family val="2"/>
        <charset val="238"/>
      </rPr>
      <t xml:space="preserve"> / A</t>
    </r>
    <r>
      <rPr>
        <vertAlign val="subscript"/>
        <sz val="10"/>
        <color theme="1"/>
        <rFont val="Arial"/>
        <family val="2"/>
        <charset val="238"/>
      </rPr>
      <t>f</t>
    </r>
  </si>
  <si>
    <r>
      <t>A</t>
    </r>
    <r>
      <rPr>
        <vertAlign val="subscript"/>
        <sz val="10"/>
        <color theme="1"/>
        <rFont val="Arial"/>
        <family val="2"/>
        <charset val="238"/>
      </rPr>
      <t>h</t>
    </r>
    <r>
      <rPr>
        <sz val="10"/>
        <color theme="1"/>
        <rFont val="Arial"/>
        <family val="2"/>
        <charset val="238"/>
      </rPr>
      <t/>
    </r>
  </si>
  <si>
    <t>Wysokośc strefy pożarowej (H)</t>
  </si>
  <si>
    <t>Współczynnik wentylacji:</t>
  </si>
  <si>
    <t>powinno powyżej 0,5</t>
  </si>
  <si>
    <r>
      <t>powierzchnia strefy pożarowej A</t>
    </r>
    <r>
      <rPr>
        <sz val="8"/>
        <color theme="1"/>
        <rFont val="Czcionka tekstu podstawowego"/>
        <charset val="238"/>
      </rPr>
      <t>f</t>
    </r>
  </si>
  <si>
    <r>
      <t>Współczynnik korekcyjny k</t>
    </r>
    <r>
      <rPr>
        <b/>
        <sz val="8"/>
        <color theme="1"/>
        <rFont val="Czcionka tekstu podstawowego"/>
        <charset val="238"/>
      </rPr>
      <t>c</t>
    </r>
  </si>
  <si>
    <t>żelbet</t>
  </si>
  <si>
    <t>stal zabezpieczona</t>
  </si>
  <si>
    <t>stal niezabezpieczona</t>
  </si>
  <si>
    <t>Średnia ważona wysokości okien we wszystkich ścianach</t>
  </si>
  <si>
    <r>
      <t>h</t>
    </r>
    <r>
      <rPr>
        <sz val="8"/>
        <color theme="1"/>
        <rFont val="Czcionka tekstu podstawowego"/>
        <charset val="238"/>
      </rPr>
      <t>eq</t>
    </r>
  </si>
  <si>
    <t>m</t>
  </si>
  <si>
    <t>Całkowita powierzchnia ścian, sufitu, podłogi, w tym otwory)</t>
  </si>
  <si>
    <r>
      <t>A</t>
    </r>
    <r>
      <rPr>
        <sz val="8"/>
        <color theme="1"/>
        <rFont val="Czcionka tekstu podstawowego"/>
        <charset val="238"/>
      </rPr>
      <t>t</t>
    </r>
  </si>
  <si>
    <t>Wartość odniesiona do powierzchni podłogi:</t>
  </si>
  <si>
    <t>Wartość odniesiona do całkowitej powierzchni (w tym ściany i sufit):</t>
  </si>
  <si>
    <r>
      <t>q</t>
    </r>
    <r>
      <rPr>
        <vertAlign val="subscript"/>
        <sz val="10"/>
        <color theme="1"/>
        <rFont val="Arial"/>
        <family val="2"/>
        <charset val="238"/>
      </rPr>
      <t>t,d</t>
    </r>
  </si>
  <si>
    <r>
      <t>q</t>
    </r>
    <r>
      <rPr>
        <sz val="8"/>
        <color theme="1"/>
        <rFont val="Arial"/>
        <family val="2"/>
        <charset val="238"/>
      </rPr>
      <t>f,k</t>
    </r>
    <r>
      <rPr>
        <sz val="10"/>
        <color theme="1"/>
        <rFont val="Arial"/>
        <family val="2"/>
        <charset val="238"/>
      </rPr>
      <t xml:space="preserve"> = Q</t>
    </r>
    <r>
      <rPr>
        <sz val="8"/>
        <color theme="1"/>
        <rFont val="Arial"/>
        <family val="2"/>
        <charset val="238"/>
      </rPr>
      <t>fi,k</t>
    </r>
    <r>
      <rPr>
        <sz val="10"/>
        <color theme="1"/>
        <rFont val="Arial"/>
        <family val="2"/>
        <charset val="238"/>
      </rPr>
      <t xml:space="preserve"> / A</t>
    </r>
    <r>
      <rPr>
        <sz val="8"/>
        <color theme="1"/>
        <rFont val="Arial"/>
        <family val="2"/>
        <charset val="238"/>
      </rPr>
      <t>f</t>
    </r>
  </si>
  <si>
    <r>
      <t>q</t>
    </r>
    <r>
      <rPr>
        <sz val="8"/>
        <color theme="1"/>
        <rFont val="Arial"/>
        <family val="2"/>
        <charset val="238"/>
      </rPr>
      <t>t,k</t>
    </r>
    <r>
      <rPr>
        <sz val="10"/>
        <color theme="1"/>
        <rFont val="Arial"/>
        <family val="2"/>
        <charset val="238"/>
      </rPr>
      <t xml:space="preserve"> = Q</t>
    </r>
    <r>
      <rPr>
        <sz val="8"/>
        <color theme="1"/>
        <rFont val="Arial"/>
        <family val="2"/>
        <charset val="238"/>
      </rPr>
      <t>fi,k</t>
    </r>
    <r>
      <rPr>
        <sz val="10"/>
        <color theme="1"/>
        <rFont val="Arial"/>
        <family val="2"/>
        <charset val="238"/>
      </rPr>
      <t xml:space="preserve"> / A</t>
    </r>
    <r>
      <rPr>
        <sz val="8"/>
        <color theme="1"/>
        <rFont val="Arial"/>
        <family val="2"/>
        <charset val="238"/>
      </rPr>
      <t>t</t>
    </r>
  </si>
  <si>
    <t>ma być od 0,02 do 0,2</t>
  </si>
  <si>
    <t>Wskaźnik otworów</t>
  </si>
  <si>
    <r>
      <t>m</t>
    </r>
    <r>
      <rPr>
        <vertAlign val="superscript"/>
        <sz val="10"/>
        <color theme="1"/>
        <rFont val="Arial"/>
        <family val="2"/>
        <charset val="238"/>
      </rPr>
      <t>1/2</t>
    </r>
  </si>
  <si>
    <r>
      <t>Współczynnik korekcyjny (k</t>
    </r>
    <r>
      <rPr>
        <sz val="8"/>
        <color theme="1"/>
        <rFont val="Czcionka tekstu podstawowego"/>
        <charset val="238"/>
      </rPr>
      <t>c</t>
    </r>
    <r>
      <rPr>
        <sz val="11"/>
        <color theme="1"/>
        <rFont val="Czcionka tekstu podstawowego"/>
        <family val="2"/>
        <charset val="238"/>
      </rPr>
      <t>)</t>
    </r>
  </si>
  <si>
    <t>Współczynnik korekcyjny (kb)</t>
  </si>
  <si>
    <t>min·m2/MJ</t>
  </si>
  <si>
    <t>Równoważny czas oddziaływania pożaru:</t>
  </si>
  <si>
    <t>min</t>
  </si>
  <si>
    <r>
      <t>A</t>
    </r>
    <r>
      <rPr>
        <sz val="8"/>
        <color theme="1"/>
        <rFont val="Czcionka tekstu podstawowego"/>
        <charset val="238"/>
      </rPr>
      <t>f</t>
    </r>
    <r>
      <rPr>
        <sz val="11"/>
        <color theme="1"/>
        <rFont val="Czcionka tekstu podstawowego"/>
        <family val="2"/>
        <charset val="238"/>
      </rPr>
      <t xml:space="preserve"> [m2]</t>
    </r>
  </si>
</sst>
</file>

<file path=xl/styles.xml><?xml version="1.0" encoding="utf-8"?>
<styleSheet xmlns="http://schemas.openxmlformats.org/spreadsheetml/2006/main">
  <fonts count="9">
    <font>
      <sz val="11"/>
      <color theme="1"/>
      <name val="Czcionka tekstu podstawowego"/>
      <family val="2"/>
      <charset val="238"/>
    </font>
    <font>
      <b/>
      <sz val="11"/>
      <color theme="1"/>
      <name val="Czcionka tekstu podstawowego"/>
      <charset val="238"/>
    </font>
    <font>
      <sz val="10"/>
      <color theme="1"/>
      <name val="Arial"/>
      <family val="2"/>
      <charset val="238"/>
    </font>
    <font>
      <sz val="11"/>
      <color theme="1"/>
      <name val="Czcionka tekstu podstawowego"/>
      <charset val="238"/>
    </font>
    <font>
      <vertAlign val="subscript"/>
      <sz val="10"/>
      <color theme="1"/>
      <name val="Arial"/>
      <family val="2"/>
      <charset val="238"/>
    </font>
    <font>
      <vertAlign val="superscript"/>
      <sz val="10"/>
      <color theme="1"/>
      <name val="Arial"/>
      <family val="2"/>
      <charset val="238"/>
    </font>
    <font>
      <sz val="8"/>
      <color theme="1"/>
      <name val="Czcionka tekstu podstawowego"/>
      <charset val="238"/>
    </font>
    <font>
      <b/>
      <sz val="8"/>
      <color theme="1"/>
      <name val="Czcionka tekstu podstawowego"/>
      <charset val="238"/>
    </font>
    <font>
      <sz val="8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3" fillId="0" borderId="0" xfId="0" applyFont="1"/>
    <xf numFmtId="0" fontId="2" fillId="0" borderId="0" xfId="0" applyFon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0" xfId="0" applyFill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0" borderId="0" xfId="0" applyAlignment="1">
      <alignment horizontal="center"/>
    </xf>
    <xf numFmtId="0" fontId="2" fillId="0" borderId="9" xfId="0" applyFont="1" applyBorder="1"/>
    <xf numFmtId="0" fontId="0" fillId="4" borderId="0" xfId="0" applyFill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20" xfId="0" applyFill="1" applyBorder="1"/>
    <xf numFmtId="0" fontId="0" fillId="3" borderId="20" xfId="0" applyFill="1" applyBorder="1"/>
    <xf numFmtId="0" fontId="0" fillId="5" borderId="0" xfId="0" applyFill="1"/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wmf"/><Relationship Id="rId7" Type="http://schemas.openxmlformats.org/officeDocument/2006/relationships/image" Target="../media/image7.wmf"/><Relationship Id="rId2" Type="http://schemas.openxmlformats.org/officeDocument/2006/relationships/image" Target="../media/image2.wmf"/><Relationship Id="rId1" Type="http://schemas.openxmlformats.org/officeDocument/2006/relationships/image" Target="../media/image1.emf"/><Relationship Id="rId6" Type="http://schemas.openxmlformats.org/officeDocument/2006/relationships/image" Target="../media/image6.wmf"/><Relationship Id="rId5" Type="http://schemas.openxmlformats.org/officeDocument/2006/relationships/image" Target="../media/image5.emf"/><Relationship Id="rId4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590550</xdr:colOff>
      <xdr:row>18</xdr:row>
      <xdr:rowOff>19050</xdr:rowOff>
    </xdr:from>
    <xdr:to>
      <xdr:col>4</xdr:col>
      <xdr:colOff>590550</xdr:colOff>
      <xdr:row>29</xdr:row>
      <xdr:rowOff>114300</xdr:rowOff>
    </xdr:to>
    <xdr:cxnSp macro="">
      <xdr:nvCxnSpPr>
        <xdr:cNvPr id="3" name="Łącznik prosty 2"/>
        <xdr:cNvCxnSpPr/>
      </xdr:nvCxnSpPr>
      <xdr:spPr>
        <a:xfrm>
          <a:off x="5810250" y="3371850"/>
          <a:ext cx="0" cy="21050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33</xdr:row>
      <xdr:rowOff>9525</xdr:rowOff>
    </xdr:from>
    <xdr:to>
      <xdr:col>4</xdr:col>
      <xdr:colOff>342900</xdr:colOff>
      <xdr:row>41</xdr:row>
      <xdr:rowOff>171450</xdr:rowOff>
    </xdr:to>
    <xdr:cxnSp macro="">
      <xdr:nvCxnSpPr>
        <xdr:cNvPr id="5" name="Łącznik prosty 4"/>
        <xdr:cNvCxnSpPr/>
      </xdr:nvCxnSpPr>
      <xdr:spPr>
        <a:xfrm>
          <a:off x="5562600" y="6115050"/>
          <a:ext cx="0" cy="16097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5.bin"/><Relationship Id="rId3" Type="http://schemas.openxmlformats.org/officeDocument/2006/relationships/vmlDrawing" Target="../drawings/vmlDrawing1.vml"/><Relationship Id="rId7" Type="http://schemas.openxmlformats.org/officeDocument/2006/relationships/oleObject" Target="../embeddings/oleObject4.bin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3.bin"/><Relationship Id="rId11" Type="http://schemas.openxmlformats.org/officeDocument/2006/relationships/oleObject" Target="../embeddings/oleObject8.bin"/><Relationship Id="rId5" Type="http://schemas.openxmlformats.org/officeDocument/2006/relationships/oleObject" Target="../embeddings/oleObject2.bin"/><Relationship Id="rId10" Type="http://schemas.openxmlformats.org/officeDocument/2006/relationships/oleObject" Target="../embeddings/oleObject7.bin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B1:J81"/>
  <sheetViews>
    <sheetView showGridLines="0" showRowColHeaders="0" tabSelected="1" view="pageBreakPreview" zoomScale="115" zoomScaleNormal="100" zoomScaleSheetLayoutView="115" workbookViewId="0">
      <selection activeCell="C2" sqref="C2"/>
    </sheetView>
  </sheetViews>
  <sheetFormatPr defaultRowHeight="14.25"/>
  <cols>
    <col min="2" max="2" width="28.875" customWidth="1"/>
    <col min="3" max="3" width="9.25" bestFit="1" customWidth="1"/>
    <col min="4" max="4" width="21.375" bestFit="1" customWidth="1"/>
    <col min="5" max="5" width="10.125" bestFit="1" customWidth="1"/>
    <col min="6" max="6" width="34.375" bestFit="1" customWidth="1"/>
    <col min="7" max="7" width="20.25" bestFit="1" customWidth="1"/>
    <col min="8" max="8" width="0" hidden="1" customWidth="1"/>
    <col min="9" max="9" width="5.375" hidden="1" customWidth="1"/>
    <col min="10" max="10" width="5" hidden="1" customWidth="1"/>
  </cols>
  <sheetData>
    <row r="1" spans="2:7" ht="15.75" thickBot="1">
      <c r="B1" s="1" t="s">
        <v>47</v>
      </c>
    </row>
    <row r="2" spans="2:7" ht="15" thickBot="1">
      <c r="B2" t="s">
        <v>60</v>
      </c>
      <c r="C2" s="26"/>
      <c r="D2" s="3" t="s">
        <v>10</v>
      </c>
      <c r="F2" s="35" t="s">
        <v>12</v>
      </c>
      <c r="G2" s="36"/>
    </row>
    <row r="3" spans="2:7" ht="15" thickBot="1">
      <c r="F3" s="37"/>
      <c r="G3" s="38"/>
    </row>
    <row r="4" spans="2:7" ht="15.75" thickBot="1">
      <c r="B4" s="20" t="s">
        <v>0</v>
      </c>
      <c r="C4" s="21" t="s">
        <v>1</v>
      </c>
      <c r="D4" s="22" t="s">
        <v>2</v>
      </c>
      <c r="F4" s="39"/>
      <c r="G4" s="40"/>
    </row>
    <row r="5" spans="2:7" ht="15">
      <c r="B5" s="23"/>
      <c r="C5" s="24"/>
      <c r="D5" s="25"/>
      <c r="E5" s="1"/>
      <c r="F5" s="31" t="s">
        <v>13</v>
      </c>
      <c r="G5" s="32" t="s">
        <v>14</v>
      </c>
    </row>
    <row r="6" spans="2:7" ht="15" customHeight="1">
      <c r="B6" s="11"/>
      <c r="C6" s="12"/>
      <c r="D6" s="13"/>
      <c r="F6" s="42"/>
      <c r="G6" s="41"/>
    </row>
    <row r="7" spans="2:7" ht="16.5" thickBot="1">
      <c r="B7" s="11"/>
      <c r="C7" s="12"/>
      <c r="D7" s="13"/>
      <c r="F7" s="6" t="s">
        <v>83</v>
      </c>
      <c r="G7" s="18" t="s">
        <v>44</v>
      </c>
    </row>
    <row r="8" spans="2:7">
      <c r="B8" s="11"/>
      <c r="C8" s="12"/>
      <c r="D8" s="13"/>
      <c r="F8" s="8">
        <v>25</v>
      </c>
      <c r="G8" s="9">
        <v>1.1000000000000001</v>
      </c>
    </row>
    <row r="9" spans="2:7">
      <c r="B9" s="11"/>
      <c r="C9" s="12"/>
      <c r="D9" s="13"/>
      <c r="F9" s="4">
        <v>250</v>
      </c>
      <c r="G9" s="5">
        <v>1.5</v>
      </c>
    </row>
    <row r="10" spans="2:7">
      <c r="B10" s="11"/>
      <c r="C10" s="12"/>
      <c r="D10" s="13"/>
      <c r="F10" s="4">
        <v>2500</v>
      </c>
      <c r="G10" s="5">
        <v>1.9</v>
      </c>
    </row>
    <row r="11" spans="2:7">
      <c r="B11" s="11"/>
      <c r="C11" s="12"/>
      <c r="D11" s="13"/>
      <c r="F11" s="4">
        <v>5000</v>
      </c>
      <c r="G11" s="5">
        <v>2</v>
      </c>
    </row>
    <row r="12" spans="2:7" ht="15" thickBot="1">
      <c r="B12" s="14"/>
      <c r="C12" s="15"/>
      <c r="D12" s="16"/>
      <c r="F12" s="6">
        <v>10000</v>
      </c>
      <c r="G12" s="7">
        <v>2.13</v>
      </c>
    </row>
    <row r="13" spans="2:7" ht="15" thickBot="1"/>
    <row r="14" spans="2:7">
      <c r="B14" t="s">
        <v>3</v>
      </c>
      <c r="C14" s="2" t="s">
        <v>5</v>
      </c>
      <c r="D14" s="10"/>
      <c r="F14" s="35" t="s">
        <v>15</v>
      </c>
      <c r="G14" s="36"/>
    </row>
    <row r="15" spans="2:7" ht="15" thickBot="1">
      <c r="B15" t="s">
        <v>4</v>
      </c>
      <c r="F15" s="39"/>
      <c r="G15" s="40"/>
    </row>
    <row r="16" spans="2:7" ht="14.25" customHeight="1">
      <c r="F16" s="43" t="s">
        <v>16</v>
      </c>
      <c r="G16" s="32" t="s">
        <v>17</v>
      </c>
    </row>
    <row r="17" spans="2:7" ht="14.25" customHeight="1">
      <c r="B17" t="s">
        <v>7</v>
      </c>
      <c r="F17" s="44"/>
      <c r="G17" s="41"/>
    </row>
    <row r="18" spans="2:7" ht="16.5" thickBot="1">
      <c r="C18" s="28">
        <f>C5*D5*D14+C6*D6*D14+C7*D7*D14+C8*D8*D14+C9*D9*D14+C10*D10*D14+C11*D11*D14+C12*D12*D14</f>
        <v>0</v>
      </c>
      <c r="D18" t="s">
        <v>6</v>
      </c>
      <c r="F18" s="45"/>
      <c r="G18" s="18" t="s">
        <v>45</v>
      </c>
    </row>
    <row r="19" spans="2:7">
      <c r="F19" s="8" t="s">
        <v>18</v>
      </c>
      <c r="G19" s="9">
        <v>0.78</v>
      </c>
    </row>
    <row r="20" spans="2:7">
      <c r="F20" s="4" t="s">
        <v>19</v>
      </c>
      <c r="G20" s="5">
        <v>0.78</v>
      </c>
    </row>
    <row r="21" spans="2:7">
      <c r="B21" t="s">
        <v>8</v>
      </c>
      <c r="F21" s="4" t="s">
        <v>20</v>
      </c>
      <c r="G21" s="5">
        <v>0.78</v>
      </c>
    </row>
    <row r="22" spans="2:7">
      <c r="B22" s="3" t="s">
        <v>73</v>
      </c>
      <c r="C22" s="28" t="str">
        <f>IF(C2="","",C18/C2)</f>
        <v/>
      </c>
      <c r="D22" s="3" t="s">
        <v>9</v>
      </c>
      <c r="F22" s="4" t="s">
        <v>21</v>
      </c>
      <c r="G22" s="5">
        <v>1</v>
      </c>
    </row>
    <row r="23" spans="2:7">
      <c r="F23" s="4" t="s">
        <v>22</v>
      </c>
      <c r="G23" s="5">
        <v>1</v>
      </c>
    </row>
    <row r="24" spans="2:7">
      <c r="B24" t="s">
        <v>11</v>
      </c>
      <c r="F24" s="4" t="s">
        <v>23</v>
      </c>
      <c r="G24" s="5">
        <v>1</v>
      </c>
    </row>
    <row r="25" spans="2:7">
      <c r="F25" s="4" t="s">
        <v>24</v>
      </c>
      <c r="G25" s="5">
        <v>1</v>
      </c>
    </row>
    <row r="26" spans="2:7">
      <c r="F26" s="4" t="s">
        <v>25</v>
      </c>
      <c r="G26" s="5">
        <v>1.22</v>
      </c>
    </row>
    <row r="27" spans="2:7" ht="15.75">
      <c r="B27" s="3" t="s">
        <v>44</v>
      </c>
      <c r="C27">
        <f>IF(C2&lt;F8,G8,(IF(C2&lt;F9,G9,(IF(C2&lt;F10,G10,(IF(C2&lt;F11,G11,(IF(C2&lt;F12,G12,"NIEDOZWOLONA POWIERZCHNIA")))))))))</f>
        <v>1.1000000000000001</v>
      </c>
      <c r="F27" s="4" t="s">
        <v>26</v>
      </c>
      <c r="G27" s="5">
        <v>1.44</v>
      </c>
    </row>
    <row r="28" spans="2:7" ht="15.75">
      <c r="B28" s="3" t="s">
        <v>45</v>
      </c>
      <c r="C28">
        <f>G27</f>
        <v>1.44</v>
      </c>
      <c r="F28" s="4" t="s">
        <v>27</v>
      </c>
      <c r="G28" s="5">
        <v>1.44</v>
      </c>
    </row>
    <row r="29" spans="2:7" ht="15" thickBot="1">
      <c r="F29" s="4" t="s">
        <v>28</v>
      </c>
      <c r="G29" s="5">
        <v>1.66</v>
      </c>
    </row>
    <row r="30" spans="2:7" ht="15" thickBot="1">
      <c r="B30" t="s">
        <v>30</v>
      </c>
      <c r="C30" s="26"/>
      <c r="D30" s="19" t="s">
        <v>31</v>
      </c>
      <c r="F30" s="6" t="s">
        <v>29</v>
      </c>
      <c r="G30" s="7">
        <v>1.66</v>
      </c>
    </row>
    <row r="31" spans="2:7" ht="15" thickBot="1"/>
    <row r="32" spans="2:7">
      <c r="C32">
        <f>IF(AND(G34="",G35="",G36="",G37="",G38="",G39="",G40="",G41="",G42="",G43="",G44=""),"",PRODUCT(G34:G43))</f>
        <v>0.34733399999999998</v>
      </c>
      <c r="F32" s="31" t="s">
        <v>32</v>
      </c>
      <c r="G32" s="32"/>
    </row>
    <row r="33" spans="2:10" ht="15" thickBot="1">
      <c r="E33" s="17" t="s">
        <v>42</v>
      </c>
      <c r="F33" s="33"/>
      <c r="G33" s="34"/>
    </row>
    <row r="34" spans="2:10" ht="15" thickBot="1">
      <c r="B34" t="s">
        <v>70</v>
      </c>
      <c r="F34" s="8" t="s">
        <v>33</v>
      </c>
      <c r="G34" s="9">
        <f>I34</f>
        <v>1</v>
      </c>
      <c r="H34">
        <v>0.61</v>
      </c>
      <c r="I34">
        <v>1</v>
      </c>
    </row>
    <row r="35" spans="2:10" ht="16.5" thickBot="1">
      <c r="B35" s="3" t="s">
        <v>46</v>
      </c>
      <c r="C35" s="27" t="str">
        <f>IF(OR(C32="",C22="",C30=""),"",C30*C22*C27*C28*C32)</f>
        <v/>
      </c>
      <c r="D35" s="3" t="s">
        <v>9</v>
      </c>
      <c r="F35" s="4" t="s">
        <v>34</v>
      </c>
      <c r="G35" s="5">
        <f>I35</f>
        <v>1</v>
      </c>
      <c r="H35">
        <v>0.87</v>
      </c>
      <c r="I35">
        <v>1</v>
      </c>
    </row>
    <row r="36" spans="2:10">
      <c r="F36" s="4" t="s">
        <v>35</v>
      </c>
      <c r="G36" s="5">
        <f>H36</f>
        <v>0.73</v>
      </c>
      <c r="H36">
        <v>0.73</v>
      </c>
      <c r="I36">
        <v>1</v>
      </c>
    </row>
    <row r="37" spans="2:10">
      <c r="B37" t="s">
        <v>71</v>
      </c>
      <c r="F37" s="4" t="s">
        <v>36</v>
      </c>
      <c r="G37" s="5">
        <f>I37</f>
        <v>1</v>
      </c>
      <c r="H37">
        <v>0.87</v>
      </c>
      <c r="I37">
        <v>1</v>
      </c>
    </row>
    <row r="38" spans="2:10">
      <c r="B38" s="3" t="s">
        <v>74</v>
      </c>
      <c r="C38" s="28" t="str">
        <f>IF(C72="","",C18/C72)</f>
        <v/>
      </c>
      <c r="D38" s="3" t="s">
        <v>9</v>
      </c>
      <c r="F38" s="4" t="s">
        <v>37</v>
      </c>
      <c r="G38" s="5">
        <f t="shared" ref="G38:G43" si="0">H38</f>
        <v>0.61</v>
      </c>
      <c r="H38">
        <v>0.61</v>
      </c>
      <c r="I38">
        <v>1</v>
      </c>
    </row>
    <row r="39" spans="2:10">
      <c r="F39" s="4" t="s">
        <v>38</v>
      </c>
      <c r="G39" s="5">
        <f t="shared" si="0"/>
        <v>0.78</v>
      </c>
      <c r="H39">
        <v>0.78</v>
      </c>
      <c r="I39">
        <v>1</v>
      </c>
    </row>
    <row r="40" spans="2:10">
      <c r="F40" s="4" t="s">
        <v>39</v>
      </c>
      <c r="G40" s="5">
        <f t="shared" si="0"/>
        <v>1</v>
      </c>
      <c r="H40">
        <v>1</v>
      </c>
      <c r="I40">
        <v>1.5</v>
      </c>
    </row>
    <row r="41" spans="2:10" ht="15" thickBot="1">
      <c r="F41" s="4" t="s">
        <v>40</v>
      </c>
      <c r="G41" s="5">
        <f t="shared" si="0"/>
        <v>1</v>
      </c>
      <c r="H41">
        <v>1</v>
      </c>
      <c r="I41">
        <v>1.5</v>
      </c>
    </row>
    <row r="42" spans="2:10" ht="16.5" thickBot="1">
      <c r="B42" s="3" t="s">
        <v>72</v>
      </c>
      <c r="C42" s="27" t="str">
        <f>IF(OR(C32="",C35="",C38="",C30=""),"",C30*C38*C27*C28*C32)</f>
        <v/>
      </c>
      <c r="D42" s="3" t="s">
        <v>9</v>
      </c>
      <c r="F42" s="4" t="s">
        <v>41</v>
      </c>
      <c r="G42" s="5">
        <f t="shared" si="0"/>
        <v>1</v>
      </c>
      <c r="H42">
        <v>1</v>
      </c>
      <c r="I42">
        <v>1.5</v>
      </c>
    </row>
    <row r="43" spans="2:10" ht="15" thickBot="1">
      <c r="F43" s="6" t="s">
        <v>43</v>
      </c>
      <c r="G43" s="7">
        <f t="shared" si="0"/>
        <v>1</v>
      </c>
      <c r="H43">
        <v>1</v>
      </c>
      <c r="I43">
        <v>0.87</v>
      </c>
      <c r="J43">
        <v>0.7</v>
      </c>
    </row>
    <row r="44" spans="2:10">
      <c r="E44" s="17" t="str">
        <f>"0  |  1  |  2"</f>
        <v>0  |  1  |  2</v>
      </c>
    </row>
    <row r="53" spans="2:7" ht="15.75" thickBot="1">
      <c r="B53" s="1" t="s">
        <v>48</v>
      </c>
    </row>
    <row r="54" spans="2:7" ht="15.75" thickBot="1">
      <c r="F54" s="29" t="s">
        <v>61</v>
      </c>
      <c r="G54" s="30"/>
    </row>
    <row r="55" spans="2:7" ht="15" thickBot="1">
      <c r="B55" t="s">
        <v>50</v>
      </c>
      <c r="F55" s="8" t="s">
        <v>62</v>
      </c>
      <c r="G55" s="9">
        <v>1</v>
      </c>
    </row>
    <row r="56" spans="2:7" ht="16.5" thickBot="1">
      <c r="B56" s="3" t="s">
        <v>51</v>
      </c>
      <c r="C56" s="26"/>
      <c r="D56" s="3" t="s">
        <v>10</v>
      </c>
      <c r="F56" s="4" t="s">
        <v>63</v>
      </c>
      <c r="G56" s="5">
        <v>1</v>
      </c>
    </row>
    <row r="57" spans="2:7" ht="16.5" thickBot="1">
      <c r="B57" s="3" t="s">
        <v>49</v>
      </c>
      <c r="C57" s="28" t="str">
        <f>IF(OR(C2="",C56=""),"",C56/C2)</f>
        <v/>
      </c>
      <c r="D57" s="19" t="s">
        <v>52</v>
      </c>
      <c r="F57" s="6" t="s">
        <v>64</v>
      </c>
      <c r="G57" s="7" t="str">
        <f>IF(C74="","",13.7*C74)</f>
        <v/>
      </c>
    </row>
    <row r="58" spans="2:7">
      <c r="C58" s="28" t="str">
        <f>IF(C57="","",12.5*(1+10*C57-(C57^2)))</f>
        <v/>
      </c>
      <c r="D58" s="19" t="s">
        <v>53</v>
      </c>
    </row>
    <row r="60" spans="2:7" ht="15" thickBot="1">
      <c r="B60" t="s">
        <v>54</v>
      </c>
    </row>
    <row r="61" spans="2:7" ht="16.5" thickBot="1">
      <c r="B61" s="3" t="s">
        <v>56</v>
      </c>
      <c r="C61" s="26"/>
      <c r="D61" s="3" t="s">
        <v>10</v>
      </c>
    </row>
    <row r="62" spans="2:7" ht="16.5" thickBot="1">
      <c r="B62" s="3" t="s">
        <v>55</v>
      </c>
      <c r="C62" t="str">
        <f>IF(OR(C2="",C61=""),"",C61/C2)</f>
        <v/>
      </c>
    </row>
    <row r="63" spans="2:7" ht="15" thickBot="1">
      <c r="B63" t="s">
        <v>57</v>
      </c>
      <c r="C63" s="26"/>
      <c r="D63" s="3" t="s">
        <v>67</v>
      </c>
    </row>
    <row r="65" spans="2:4">
      <c r="B65" t="s">
        <v>58</v>
      </c>
    </row>
    <row r="67" spans="2:4">
      <c r="C67" s="28" t="str">
        <f>IF(OR(C63="",C62="",C58="",),"",((6/C63)^0.3)*((0.62+90*((0.4-C57)^4))/(1+C58*C62)))</f>
        <v/>
      </c>
      <c r="D67" s="19" t="s">
        <v>59</v>
      </c>
    </row>
    <row r="69" spans="2:4" ht="15" thickBot="1">
      <c r="B69" t="s">
        <v>65</v>
      </c>
    </row>
    <row r="70" spans="2:4" ht="15" thickBot="1">
      <c r="B70" t="s">
        <v>66</v>
      </c>
      <c r="C70" s="26"/>
      <c r="D70" t="s">
        <v>67</v>
      </c>
    </row>
    <row r="71" spans="2:4" ht="15" thickBot="1">
      <c r="B71" t="s">
        <v>68</v>
      </c>
    </row>
    <row r="72" spans="2:4" ht="15" thickBot="1">
      <c r="B72" t="s">
        <v>69</v>
      </c>
      <c r="C72" s="26"/>
      <c r="D72" s="3" t="s">
        <v>10</v>
      </c>
    </row>
    <row r="73" spans="2:4">
      <c r="B73" t="s">
        <v>76</v>
      </c>
    </row>
    <row r="74" spans="2:4">
      <c r="C74" s="28" t="str">
        <f>IF(C72="","",C56*SQRT(C70)/C72)</f>
        <v/>
      </c>
      <c r="D74" s="3" t="s">
        <v>77</v>
      </c>
    </row>
    <row r="75" spans="2:4">
      <c r="D75" s="19" t="s">
        <v>75</v>
      </c>
    </row>
    <row r="77" spans="2:4">
      <c r="B77" t="s">
        <v>78</v>
      </c>
      <c r="C77">
        <f>G55</f>
        <v>1</v>
      </c>
    </row>
    <row r="78" spans="2:4">
      <c r="B78" t="s">
        <v>79</v>
      </c>
      <c r="C78">
        <v>7.0000000000000007E-2</v>
      </c>
      <c r="D78" s="3" t="s">
        <v>80</v>
      </c>
    </row>
    <row r="80" spans="2:4" ht="15" thickBot="1">
      <c r="B80" t="s">
        <v>81</v>
      </c>
    </row>
    <row r="81" spans="3:4" ht="15" thickBot="1">
      <c r="C81" s="27" t="str">
        <f>IF(OR(C77="",C67=""),"",C35*C78*C67*C77)</f>
        <v/>
      </c>
      <c r="D81" t="s">
        <v>82</v>
      </c>
    </row>
  </sheetData>
  <mergeCells count="8">
    <mergeCell ref="F54:G54"/>
    <mergeCell ref="F32:G33"/>
    <mergeCell ref="F2:G4"/>
    <mergeCell ref="G5:G6"/>
    <mergeCell ref="F5:F6"/>
    <mergeCell ref="F14:G15"/>
    <mergeCell ref="G16:G17"/>
    <mergeCell ref="F16:F18"/>
  </mergeCells>
  <pageMargins left="0.7" right="0.7" top="0.75" bottom="0.75" header="0.3" footer="0.3"/>
  <pageSetup paperSize="9" orientation="portrait" r:id="rId1"/>
  <rowBreaks count="1" manualBreakCount="1">
    <brk id="83" max="3" man="1"/>
  </rowBreaks>
  <colBreaks count="1" manualBreakCount="1">
    <brk id="4" max="1048575" man="1"/>
  </colBreaks>
  <drawing r:id="rId2"/>
  <legacyDrawing r:id="rId3"/>
  <oleObjects>
    <oleObject progId="Equation.3" shapeId="1025" r:id="rId4"/>
    <oleObject progId="Equation.3" shapeId="1027" r:id="rId5"/>
    <oleObject progId="Equation.3" shapeId="1063" r:id="rId6"/>
    <oleObject progId="Equation.3" shapeId="1064" r:id="rId7"/>
    <oleObject progId="Equation.3" shapeId="1065" r:id="rId8"/>
    <oleObject progId="Equation.3" shapeId="1066" r:id="rId9"/>
    <oleObject progId="Equation.3" shapeId="1071" r:id="rId10"/>
    <oleObject progId="Equation.3" shapeId="1077" r:id="rId11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Zakresy nazwane</vt:lpstr>
      </vt:variant>
      <vt:variant>
        <vt:i4>1</vt:i4>
      </vt:variant>
    </vt:vector>
  </HeadingPairs>
  <TitlesOfParts>
    <vt:vector size="2" baseType="lpstr">
      <vt:lpstr>Arkusz1</vt:lpstr>
      <vt:lpstr>Arkusz1!Obszar_wydruku</vt:lpstr>
    </vt:vector>
  </TitlesOfParts>
  <Company>Polskie Konsorcjum Chemiczne Sp. z o.o.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0602skow</dc:creator>
  <cp:lastModifiedBy>0602skow</cp:lastModifiedBy>
  <cp:lastPrinted>2013-03-22T11:57:32Z</cp:lastPrinted>
  <dcterms:created xsi:type="dcterms:W3CDTF">2013-03-21T10:36:43Z</dcterms:created>
  <dcterms:modified xsi:type="dcterms:W3CDTF">2013-03-25T10:30:18Z</dcterms:modified>
</cp:coreProperties>
</file>